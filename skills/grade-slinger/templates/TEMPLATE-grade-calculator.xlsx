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CC0000"/>
      <sz val="16"/>
    </font>
    <font>
      <i val="1"/>
      <sz val="11"/>
    </font>
    <font>
      <color rgb="00666666"/>
      <sz val="10"/>
    </font>
    <font>
      <b val="1"/>
      <color rgb="00FFFFFF"/>
      <sz val="12"/>
    </font>
    <font>
      <b val="1"/>
      <sz val="11"/>
    </font>
    <font>
      <b val="1"/>
      <sz val="14"/>
    </font>
    <font>
      <b val="1"/>
      <color rgb="00CC0000"/>
      <sz val="18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F0F0F0"/>
        <bgColor rgb="00F0F0F0"/>
      </patternFill>
    </fill>
    <fill>
      <patternFill patternType="solid">
        <fgColor rgb="00FFFFD0"/>
        <bgColor rgb="00FFFFD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10" fontId="0" fillId="0" borderId="1" pivotButton="0" quotePrefix="0" xfId="0"/>
    <xf numFmtId="0" fontId="5" fillId="5" borderId="1" pivotButton="0" quotePrefix="0" xfId="0"/>
    <xf numFmtId="10" fontId="5" fillId="5" borderId="1" pivotButton="0" quotePrefix="0" xfId="0"/>
    <xf numFmtId="0" fontId="4" fillId="2" borderId="1" pivotButton="0" quotePrefix="0" xfId="0"/>
    <xf numFmtId="10" fontId="4" fillId="2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MBA 561 Consumer Behavior - Grade Calculator</t>
        </is>
      </c>
    </row>
    <row r="2">
      <c r="A2" s="2" t="inlineStr">
        <is>
          <t>Spring 2026 - Dr. Stefanie Robinson</t>
        </is>
      </c>
    </row>
    <row r="3">
      <c r="A3" s="3" t="inlineStr">
        <is>
          <t>Enter student scores in the YELLOW cells to calculate their grade</t>
        </is>
      </c>
    </row>
    <row r="5">
      <c r="A5" s="4" t="inlineStr">
        <is>
          <t>Grade Item</t>
        </is>
      </c>
      <c r="B5" s="4" t="inlineStr">
        <is>
          <t>Student Score</t>
        </is>
      </c>
      <c r="C5" s="4" t="inlineStr">
        <is>
          <t>Max Points</t>
        </is>
      </c>
      <c r="D5" s="4" t="inlineStr">
        <is>
          <t>Percentage</t>
        </is>
      </c>
      <c r="E5" s="4" t="inlineStr">
        <is>
          <t>Weight</t>
        </is>
      </c>
    </row>
    <row r="6">
      <c r="A6" s="5" t="inlineStr">
        <is>
          <t>PARTICIPATION ACTIVITIES</t>
        </is>
      </c>
      <c r="B6" s="6" t="n"/>
      <c r="C6" s="6" t="n"/>
      <c r="D6" s="6" t="n"/>
      <c r="E6" s="6" t="n"/>
    </row>
    <row r="7">
      <c r="A7" s="6" t="inlineStr">
        <is>
          <t xml:space="preserve">  Participation Activity 1</t>
        </is>
      </c>
      <c r="B7" s="7" t="n">
        <v>0</v>
      </c>
      <c r="C7" s="6" t="n">
        <v>5</v>
      </c>
      <c r="D7" s="8">
        <f>IF(C7&gt;0,B7/C7,0)</f>
        <v/>
      </c>
      <c r="E7" s="8">
        <f>5/175</f>
        <v/>
      </c>
    </row>
    <row r="8">
      <c r="A8" s="6" t="inlineStr">
        <is>
          <t xml:space="preserve">  Participation Activity 2</t>
        </is>
      </c>
      <c r="B8" s="7" t="n">
        <v>0</v>
      </c>
      <c r="C8" s="6" t="n">
        <v>5</v>
      </c>
      <c r="D8" s="8">
        <f>IF(C8&gt;0,B8/C8,0)</f>
        <v/>
      </c>
      <c r="E8" s="8">
        <f>5/175</f>
        <v/>
      </c>
    </row>
    <row r="9">
      <c r="A9" s="6" t="inlineStr">
        <is>
          <t xml:space="preserve">  Participation Activity 3</t>
        </is>
      </c>
      <c r="B9" s="7" t="n">
        <v>0</v>
      </c>
      <c r="C9" s="6" t="n">
        <v>10</v>
      </c>
      <c r="D9" s="8">
        <f>IF(C9&gt;0,B9/C9,0)</f>
        <v/>
      </c>
      <c r="E9" s="8">
        <f>10/175</f>
        <v/>
      </c>
    </row>
    <row r="10">
      <c r="A10" s="6" t="inlineStr">
        <is>
          <t xml:space="preserve">  Participation Activity 4</t>
        </is>
      </c>
      <c r="B10" s="7" t="n">
        <v>0</v>
      </c>
      <c r="C10" s="6" t="n">
        <v>5</v>
      </c>
      <c r="D10" s="8">
        <f>IF(C10&gt;0,B10/C10,0)</f>
        <v/>
      </c>
      <c r="E10" s="8">
        <f>5/175</f>
        <v/>
      </c>
    </row>
    <row r="11">
      <c r="A11" s="6" t="inlineStr">
        <is>
          <t xml:space="preserve">  Participation Activity 5</t>
        </is>
      </c>
      <c r="B11" s="7" t="n">
        <v>0</v>
      </c>
      <c r="C11" s="6" t="n">
        <v>5</v>
      </c>
      <c r="D11" s="8">
        <f>IF(C11&gt;0,B11/C11,0)</f>
        <v/>
      </c>
      <c r="E11" s="8">
        <f>5/175</f>
        <v/>
      </c>
    </row>
    <row r="12">
      <c r="A12" s="6" t="inlineStr">
        <is>
          <t xml:space="preserve">  Participation Activity 6</t>
        </is>
      </c>
      <c r="B12" s="7" t="n">
        <v>0</v>
      </c>
      <c r="C12" s="6" t="n">
        <v>10</v>
      </c>
      <c r="D12" s="8">
        <f>IF(C12&gt;0,B12/C12,0)</f>
        <v/>
      </c>
      <c r="E12" s="8">
        <f>10/175</f>
        <v/>
      </c>
    </row>
    <row r="13">
      <c r="A13" s="6" t="inlineStr">
        <is>
          <t xml:space="preserve">  Participation Activity 7 (Group Case)</t>
        </is>
      </c>
      <c r="B13" s="7" t="n">
        <v>0</v>
      </c>
      <c r="C13" s="6" t="n">
        <v>25</v>
      </c>
      <c r="D13" s="8">
        <f>IF(C13&gt;0,B13/C13,0)</f>
        <v/>
      </c>
      <c r="E13" s="8">
        <f>25/175</f>
        <v/>
      </c>
    </row>
    <row r="14">
      <c r="A14" s="6" t="inlineStr">
        <is>
          <t xml:space="preserve">  Participation Activity 8 (Group Case)</t>
        </is>
      </c>
      <c r="B14" s="7" t="n">
        <v>0</v>
      </c>
      <c r="C14" s="6" t="n">
        <v>25</v>
      </c>
      <c r="D14" s="8">
        <f>IF(C14&gt;0,B14/C14,0)</f>
        <v/>
      </c>
      <c r="E14" s="8">
        <f>25/175</f>
        <v/>
      </c>
    </row>
    <row r="15">
      <c r="A15" s="6" t="inlineStr">
        <is>
          <t xml:space="preserve">  Participation Activity 9</t>
        </is>
      </c>
      <c r="B15" s="7" t="n">
        <v>0</v>
      </c>
      <c r="C15" s="6" t="n">
        <v>10</v>
      </c>
      <c r="D15" s="8">
        <f>IF(C15&gt;0,B15/C15,0)</f>
        <v/>
      </c>
      <c r="E15" s="8">
        <f>10/175</f>
        <v/>
      </c>
    </row>
    <row r="16">
      <c r="A16" s="6" t="inlineStr">
        <is>
          <t xml:space="preserve">  Participation Activity 10</t>
        </is>
      </c>
      <c r="B16" s="7" t="n">
        <v>0</v>
      </c>
      <c r="C16" s="6" t="n">
        <v>5</v>
      </c>
      <c r="D16" s="8">
        <f>IF(C16&gt;0,B16/C16,0)</f>
        <v/>
      </c>
      <c r="E16" s="8">
        <f>5/175</f>
        <v/>
      </c>
    </row>
    <row r="17">
      <c r="A17" s="6" t="inlineStr">
        <is>
          <t xml:space="preserve">  Participation Activity 11</t>
        </is>
      </c>
      <c r="B17" s="7" t="n">
        <v>0</v>
      </c>
      <c r="C17" s="6" t="n">
        <v>10</v>
      </c>
      <c r="D17" s="8">
        <f>IF(C17&gt;0,B17/C17,0)</f>
        <v/>
      </c>
      <c r="E17" s="8">
        <f>10/175</f>
        <v/>
      </c>
    </row>
    <row r="18">
      <c r="A18" s="6" t="inlineStr">
        <is>
          <t xml:space="preserve">  Participation Activity 12 (Group Case)</t>
        </is>
      </c>
      <c r="B18" s="7" t="n">
        <v>0</v>
      </c>
      <c r="C18" s="6" t="n">
        <v>25</v>
      </c>
      <c r="D18" s="8">
        <f>IF(C18&gt;0,B18/C18,0)</f>
        <v/>
      </c>
      <c r="E18" s="8">
        <f>25/175</f>
        <v/>
      </c>
    </row>
    <row r="19">
      <c r="A19" s="6" t="inlineStr">
        <is>
          <t xml:space="preserve">  Participation Activity 13</t>
        </is>
      </c>
      <c r="B19" s="7" t="n">
        <v>0</v>
      </c>
      <c r="C19" s="6" t="n">
        <v>5</v>
      </c>
      <c r="D19" s="8">
        <f>IF(C19&gt;0,B19/C19,0)</f>
        <v/>
      </c>
      <c r="E19" s="8">
        <f>5/175</f>
        <v/>
      </c>
    </row>
    <row r="20">
      <c r="A20" s="6" t="inlineStr">
        <is>
          <t xml:space="preserve">  Participation Activity 14</t>
        </is>
      </c>
      <c r="B20" s="7" t="n">
        <v>0</v>
      </c>
      <c r="C20" s="6" t="n">
        <v>10</v>
      </c>
      <c r="D20" s="8">
        <f>IF(C20&gt;0,B20/C20,0)</f>
        <v/>
      </c>
      <c r="E20" s="8">
        <f>10/175</f>
        <v/>
      </c>
    </row>
    <row r="21">
      <c r="A21" s="6" t="inlineStr">
        <is>
          <t xml:space="preserve">  Participation Activity 15</t>
        </is>
      </c>
      <c r="B21" s="7" t="n">
        <v>0</v>
      </c>
      <c r="C21" s="6" t="n">
        <v>10</v>
      </c>
      <c r="D21" s="8">
        <f>IF(C21&gt;0,B21/C21,0)</f>
        <v/>
      </c>
      <c r="E21" s="8">
        <f>10/175</f>
        <v/>
      </c>
    </row>
    <row r="22">
      <c r="A22" s="6" t="inlineStr">
        <is>
          <t xml:space="preserve">  Participation Activity 16</t>
        </is>
      </c>
      <c r="B22" s="7" t="n">
        <v>0</v>
      </c>
      <c r="C22" s="6" t="n">
        <v>10</v>
      </c>
      <c r="D22" s="8">
        <f>IF(C22&gt;0,B22/C22,0)</f>
        <v/>
      </c>
      <c r="E22" s="8">
        <f>10/175</f>
        <v/>
      </c>
    </row>
    <row r="23">
      <c r="A23" s="9" t="inlineStr">
        <is>
          <t>Participation Total</t>
        </is>
      </c>
      <c r="B23" s="9">
        <f>SUM(B7:B22)</f>
        <v/>
      </c>
      <c r="C23" s="9" t="n">
        <v>175</v>
      </c>
      <c r="D23" s="10">
        <f>IF(C23&gt;0,B23/C23,0)</f>
        <v/>
      </c>
      <c r="E23" s="9" t="inlineStr">
        <is>
          <t>17.50%</t>
        </is>
      </c>
    </row>
    <row r="25">
      <c r="A25" s="5" t="inlineStr">
        <is>
          <t>CONSUMER INSIGHT PROJECT</t>
        </is>
      </c>
      <c r="B25" s="6" t="n"/>
      <c r="C25" s="6" t="n"/>
      <c r="D25" s="6" t="n"/>
      <c r="E25" s="6" t="n"/>
    </row>
    <row r="26">
      <c r="A26" s="6" t="inlineStr">
        <is>
          <t xml:space="preserve">  Consumer Behavior Insights Final Deliverable</t>
        </is>
      </c>
      <c r="B26" s="7" t="n">
        <v>0</v>
      </c>
      <c r="C26" s="6" t="n">
        <v>125</v>
      </c>
      <c r="D26" s="8">
        <f>IF(C26&gt;0,B26/C26,0)</f>
        <v/>
      </c>
      <c r="E26" s="6" t="inlineStr">
        <is>
          <t>100.00%</t>
        </is>
      </c>
    </row>
    <row r="27">
      <c r="A27" s="9" t="inlineStr">
        <is>
          <t>Consumer Insight Project Total</t>
        </is>
      </c>
      <c r="B27" s="9">
        <f>B26</f>
        <v/>
      </c>
      <c r="C27" s="9" t="n">
        <v>125</v>
      </c>
      <c r="D27" s="10">
        <f>IF(C27&gt;0,B27/C27,0)</f>
        <v/>
      </c>
      <c r="E27" s="9" t="inlineStr">
        <is>
          <t>12.50%</t>
        </is>
      </c>
    </row>
    <row r="29">
      <c r="A29" s="5" t="inlineStr">
        <is>
          <t>EXAMS</t>
        </is>
      </c>
      <c r="B29" s="6" t="n"/>
      <c r="C29" s="6" t="n"/>
      <c r="D29" s="6" t="n"/>
      <c r="E29" s="6" t="n"/>
    </row>
    <row r="30">
      <c r="A30" s="6" t="inlineStr">
        <is>
          <t xml:space="preserve">  Exam 1</t>
        </is>
      </c>
      <c r="B30" s="7" t="n">
        <v>0</v>
      </c>
      <c r="C30" s="6" t="n">
        <v>350</v>
      </c>
      <c r="D30" s="8">
        <f>IF(C30&gt;0,B30/C30,0)</f>
        <v/>
      </c>
      <c r="E30" s="6" t="inlineStr">
        <is>
          <t>50.00%</t>
        </is>
      </c>
    </row>
    <row r="31">
      <c r="A31" s="6" t="inlineStr">
        <is>
          <t xml:space="preserve">  Final Exam</t>
        </is>
      </c>
      <c r="B31" s="7" t="n">
        <v>0</v>
      </c>
      <c r="C31" s="6" t="n">
        <v>350</v>
      </c>
      <c r="D31" s="8">
        <f>IF(C31&gt;0,B31/C31,0)</f>
        <v/>
      </c>
      <c r="E31" s="6" t="inlineStr">
        <is>
          <t>50.00%</t>
        </is>
      </c>
    </row>
    <row r="32">
      <c r="A32" s="9" t="inlineStr">
        <is>
          <t>Exams Total</t>
        </is>
      </c>
      <c r="B32" s="9">
        <f>B30+B31</f>
        <v/>
      </c>
      <c r="C32" s="9" t="n">
        <v>700</v>
      </c>
      <c r="D32" s="10">
        <f>IF(C32&gt;0,B32/C32,0)</f>
        <v/>
      </c>
      <c r="E32" s="9" t="inlineStr">
        <is>
          <t>70.00%</t>
        </is>
      </c>
    </row>
    <row r="34">
      <c r="A34" s="11" t="inlineStr">
        <is>
          <t>COURSE TOTAL</t>
        </is>
      </c>
      <c r="B34" s="11">
        <f>B23+B27+B32</f>
        <v/>
      </c>
      <c r="C34" s="11" t="n">
        <v>1000</v>
      </c>
      <c r="D34" s="12">
        <f>IF(C34&gt;0,B34/C34,0)</f>
        <v/>
      </c>
      <c r="E34" s="11" t="inlineStr">
        <is>
          <t>100.00%</t>
        </is>
      </c>
    </row>
    <row r="37">
      <c r="A37" s="13" t="inlineStr">
        <is>
          <t>STUDENT LETTER GRADE:</t>
        </is>
      </c>
      <c r="C37" s="14">
        <f>IF(B34&gt;=970,"A+",IF(B34&gt;=930,"A",IF(B34&gt;=900,"A-",IF(B34&gt;=870,"B+",IF(B34&gt;=830,"B",IF(B34&gt;=800,"B-",IF(B34&gt;=770,"C+",IF(B34&gt;=730,"C",IF(B34&gt;=700,"C-",IF(B34&gt;=670,"D+",IF(B34&gt;=630,"D",IF(B34&gt;=600,"D-","F"))))))))))))</f>
        <v/>
      </c>
    </row>
    <row r="40">
      <c r="A40" s="15" t="inlineStr">
        <is>
          <t>GRADE SCALE REFERENCE</t>
        </is>
      </c>
    </row>
    <row r="41">
      <c r="A41" s="16" t="inlineStr">
        <is>
          <t>A+</t>
        </is>
      </c>
      <c r="B41" s="6" t="inlineStr">
        <is>
          <t>970-1000</t>
        </is>
      </c>
    </row>
    <row r="42">
      <c r="A42" s="16" t="inlineStr">
        <is>
          <t>A</t>
        </is>
      </c>
      <c r="B42" s="6" t="inlineStr">
        <is>
          <t>930-969</t>
        </is>
      </c>
    </row>
    <row r="43">
      <c r="A43" s="16" t="inlineStr">
        <is>
          <t>A-</t>
        </is>
      </c>
      <c r="B43" s="6" t="inlineStr">
        <is>
          <t>900-929</t>
        </is>
      </c>
    </row>
    <row r="44">
      <c r="A44" s="16" t="inlineStr">
        <is>
          <t>B+</t>
        </is>
      </c>
      <c r="B44" s="6" t="inlineStr">
        <is>
          <t>870-899</t>
        </is>
      </c>
    </row>
    <row r="45">
      <c r="A45" s="16" t="inlineStr">
        <is>
          <t>B</t>
        </is>
      </c>
      <c r="B45" s="6" t="inlineStr">
        <is>
          <t>830-869</t>
        </is>
      </c>
    </row>
    <row r="46">
      <c r="A46" s="16" t="inlineStr">
        <is>
          <t>B-</t>
        </is>
      </c>
      <c r="B46" s="6" t="inlineStr">
        <is>
          <t>800-829</t>
        </is>
      </c>
    </row>
    <row r="47">
      <c r="A47" s="16" t="inlineStr">
        <is>
          <t>C+</t>
        </is>
      </c>
      <c r="B47" s="6" t="inlineStr">
        <is>
          <t>770-799</t>
        </is>
      </c>
    </row>
    <row r="48">
      <c r="A48" s="16" t="inlineStr">
        <is>
          <t>C</t>
        </is>
      </c>
      <c r="B48" s="6" t="inlineStr">
        <is>
          <t>730-769</t>
        </is>
      </c>
    </row>
    <row r="49">
      <c r="A49" s="16" t="inlineStr">
        <is>
          <t>C-</t>
        </is>
      </c>
      <c r="B49" s="6" t="inlineStr">
        <is>
          <t>700-729</t>
        </is>
      </c>
    </row>
    <row r="50">
      <c r="A50" s="16" t="inlineStr">
        <is>
          <t>D+</t>
        </is>
      </c>
      <c r="B50" s="6" t="inlineStr">
        <is>
          <t>670-699</t>
        </is>
      </c>
    </row>
    <row r="51">
      <c r="A51" s="16" t="inlineStr">
        <is>
          <t>D</t>
        </is>
      </c>
      <c r="B51" s="6" t="inlineStr">
        <is>
          <t>630-669</t>
        </is>
      </c>
    </row>
    <row r="52">
      <c r="A52" s="16" t="inlineStr">
        <is>
          <t>D-</t>
        </is>
      </c>
      <c r="B52" s="6" t="inlineStr">
        <is>
          <t>600-629</t>
        </is>
      </c>
    </row>
    <row r="53">
      <c r="A53" s="16" t="inlineStr">
        <is>
          <t>F</t>
        </is>
      </c>
      <c r="B53" s="6" t="inlineStr">
        <is>
          <t>Below 600</t>
        </is>
      </c>
    </row>
    <row r="56">
      <c r="A56" s="17" t="inlineStr">
        <is>
          <t>INSTRUCTIONS FOR INSTRUCTORS:</t>
        </is>
      </c>
    </row>
    <row r="57">
      <c r="A57" t="inlineStr">
        <is>
          <t>1. Enter student scores in the YELLOW cells only</t>
        </is>
      </c>
    </row>
    <row r="58">
      <c r="A58" t="inlineStr">
        <is>
          <t>2. The calculator will automatically compute totals and letter grade</t>
        </is>
      </c>
    </row>
    <row r="59">
      <c r="A59" t="inlineStr">
        <is>
          <t>3. Participation activities vary in point value (5, 10, or 25 points)</t>
        </is>
      </c>
    </row>
    <row r="60">
      <c r="A60" t="inlineStr">
        <is>
          <t>4. Leave cells as 0 for assignments not yet graded</t>
        </is>
      </c>
    </row>
    <row r="61">
      <c r="A61" t="inlineStr">
        <is>
          <t>5. Use this to verify gradebook calculations or predict final grades</t>
        </is>
      </c>
    </row>
    <row r="62">
      <c r="A62" t="inlineStr">
        <is>
          <t>6. Copy this sheet to create individual student grade reports</t>
        </is>
      </c>
    </row>
  </sheetData>
  <mergeCells count="4">
    <mergeCell ref="A2:E2"/>
    <mergeCell ref="A1:E1"/>
    <mergeCell ref="A37:B3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2026-01-19T10:52:16Z</dcterms:created>
  <dcterms:modified xmlns:dcterms="http://purl.org/dc/terms/" xmlns:xsi="http://www.w3.org/2001/XMLSchema-instance" xsi:type="dcterms:W3CDTF">2026-01-19T10:52:16Z</dcterms:modified>
</cp:coreProperties>
</file>